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<sst xmlns="http://schemas.openxmlformats.org/spreadsheetml/2006/main" count="13" uniqueCount="13">
  <si>
    <t xml:space="preserve">Cálculo de Acréscimos</t>
  </si>
  <si>
    <t xml:space="preserve">Quantidade</t>
  </si>
  <si>
    <t xml:space="preserve">Período</t>
  </si>
  <si>
    <t xml:space="preserve">Juros</t>
  </si>
  <si>
    <t xml:space="preserve">Parcelas</t>
  </si>
  <si>
    <t xml:space="preserve">Número</t>
  </si>
  <si>
    <t xml:space="preserve">Peso</t>
  </si>
  <si>
    <t xml:space="preserve">Pagamento</t>
  </si>
  <si>
    <t xml:space="preserve">Juros Simples
(amortização)</t>
  </si>
  <si>
    <t xml:space="preserve">Juros Compostos
(amortização)</t>
  </si>
  <si>
    <t xml:space="preserve">Peso Total</t>
  </si>
  <si>
    <t xml:space="preserve">Pesos Amortizados</t>
  </si>
  <si>
    <t xml:space="preserve">Acréscimos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</si>
</sst>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#,##0.000000000000000"/>
    <numFmt numFmtId="167" formatCode="0.000000000000000%"/>
    <numFmt numFmtId="168" formatCode="0"/>
    <numFmt numFmtId="169" formatCode="0.000000000000000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2"/>
    </font>
    <font>
      <b val="true"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342A06"/>
        <bgColor rgb="FF003300"/>
      </patternFill>
    </fill>
    <fill>
      <patternFill patternType="solid">
        <fgColor rgb="FF395511"/>
        <bgColor rgb="FF342A06"/>
      </patternFill>
    </fill>
    <fill>
      <patternFill patternType="solid">
        <fgColor rgb="FFE8F2A1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0" fillId="3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0" fillId="2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0" fillId="3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E8F2A1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42A06"/>
      <rgbColor rgb="FF993300"/>
      <rgbColor rgb="FF993366"/>
      <rgbColor rgb="FF333399"/>
      <rgbColor rgb="FF39551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false" showRowColHeaders="true" showZeros="true" rightToLeft="false" tabSelected="true" showOutlineSymbols="true" defaultGridColor="true" view="normal" topLeftCell="A1" colorId="64" zoomScale="180" zoomScaleNormal="180" zoomScalePageLayoutView="100" workbookViewId="0">
      <selection pane="topLeft" activeCell="G14" activeCellId="0" sqref="G1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5" min="1" style="0" width="21.45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</row>
    <row r="2" customFormat="false" ht="19.3" hidden="false" customHeight="true" outlineLevel="0" collapsed="false">
      <c r="A2" s="2" t="s">
        <v>1</v>
      </c>
      <c r="B2" s="2" t="s">
        <v>2</v>
      </c>
      <c r="C2" s="2"/>
      <c r="D2" s="2" t="s">
        <v>3</v>
      </c>
      <c r="E2" s="2"/>
    </row>
    <row r="3" customFormat="false" ht="19.3" hidden="false" customHeight="true" outlineLevel="0" collapsed="false">
      <c r="A3" s="3" t="n">
        <v>3</v>
      </c>
      <c r="B3" s="4" t="n">
        <v>30</v>
      </c>
      <c r="C3" s="4"/>
      <c r="D3" s="5" t="n">
        <v>0.03</v>
      </c>
      <c r="E3" s="5"/>
    </row>
    <row r="4" customFormat="false" ht="25.5" hidden="false" customHeight="true" outlineLevel="0" collapsed="false">
      <c r="A4" s="6" t="s">
        <v>4</v>
      </c>
      <c r="B4" s="6"/>
      <c r="C4" s="6"/>
      <c r="D4" s="6"/>
      <c r="E4" s="6"/>
    </row>
    <row r="5" customFormat="false" ht="25.5" hidden="false" customHeight="true" outlineLevel="0" collapsed="false">
      <c r="A5" s="2" t="s">
        <v>5</v>
      </c>
      <c r="B5" s="2" t="s">
        <v>6</v>
      </c>
      <c r="C5" s="2" t="s">
        <v>7</v>
      </c>
      <c r="D5" s="7" t="s">
        <v>8</v>
      </c>
      <c r="E5" s="7" t="s">
        <v>9</v>
      </c>
    </row>
    <row r="6" customFormat="false" ht="12.8" hidden="false" customHeight="false" outlineLevel="0" collapsed="false">
      <c r="A6" s="8" t="n">
        <v>1</v>
      </c>
      <c r="B6" s="9" t="n">
        <f aca="false">IF(A3 &gt; 0, 1, 0)</f>
        <v>1</v>
      </c>
      <c r="C6" s="9" t="n">
        <f aca="false">B3 * A6</f>
        <v>30</v>
      </c>
      <c r="D6" s="9" t="n">
        <f aca="false"> B6 / (1 + D3 * C6 / B3)</f>
        <v>0.970873786407767</v>
      </c>
      <c r="E6" s="9" t="n">
        <f aca="false"> B6 / (1 + D3) ^ (C6 / B3)</f>
        <v>0.970873786407767</v>
      </c>
    </row>
    <row r="7" customFormat="false" ht="12.8" hidden="false" customHeight="false" outlineLevel="0" collapsed="false">
      <c r="A7" s="10" t="n">
        <v>2</v>
      </c>
      <c r="B7" s="11" t="n">
        <f aca="false">IF(A3 &gt; 1, 1, 0)</f>
        <v>1</v>
      </c>
      <c r="C7" s="11" t="n">
        <f aca="false"> B3 * A7</f>
        <v>60</v>
      </c>
      <c r="D7" s="11" t="n">
        <f aca="false"> B7 / (1 + D3 * C7 / B3)</f>
        <v>0.943396226415094</v>
      </c>
      <c r="E7" s="11" t="n">
        <f aca="false"> B7 / (1 + D3) ^ (C7 / B3)</f>
        <v>0.942595909133754</v>
      </c>
    </row>
    <row r="8" customFormat="false" ht="12.8" hidden="false" customHeight="false" outlineLevel="0" collapsed="false">
      <c r="A8" s="8" t="n">
        <v>3</v>
      </c>
      <c r="B8" s="9" t="n">
        <f aca="false">IF(A3 &gt; 2, 1, 0)</f>
        <v>1</v>
      </c>
      <c r="C8" s="9" t="n">
        <f aca="false"> B3 * A8</f>
        <v>90</v>
      </c>
      <c r="D8" s="9" t="n">
        <f aca="false"> B8 / (1 + D3 * C8 / B3)</f>
        <v>0.91743119266055</v>
      </c>
      <c r="E8" s="9" t="n">
        <f aca="false"> B8 / (1 + D3) ^ (C8 / B3)</f>
        <v>0.91514165935316</v>
      </c>
    </row>
    <row r="9" customFormat="false" ht="12.8" hidden="false" customHeight="false" outlineLevel="0" collapsed="false">
      <c r="A9" s="10" t="n">
        <v>4</v>
      </c>
      <c r="B9" s="11" t="n">
        <f aca="false">IF(A3 &gt; 3, 1, 0)</f>
        <v>0</v>
      </c>
      <c r="C9" s="11" t="n">
        <f aca="false"> B3 * A9</f>
        <v>120</v>
      </c>
      <c r="D9" s="11" t="n">
        <f aca="false"> B9 / (1 + D3 * C9 / B3)</f>
        <v>0</v>
      </c>
      <c r="E9" s="11" t="n">
        <f aca="false"> B9 / (1 + D3) ^ (C9 / B3)</f>
        <v>0</v>
      </c>
    </row>
    <row r="10" customFormat="false" ht="12.8" hidden="false" customHeight="false" outlineLevel="0" collapsed="false">
      <c r="A10" s="8" t="n">
        <v>5</v>
      </c>
      <c r="B10" s="9" t="n">
        <f aca="false">IF(A3 &gt; 4, 1, 0)</f>
        <v>0</v>
      </c>
      <c r="C10" s="9" t="n">
        <f aca="false"> B3 * A10</f>
        <v>150</v>
      </c>
      <c r="D10" s="9" t="n">
        <f aca="false"> B10 / (1 + D3 * C10 / B3)</f>
        <v>0</v>
      </c>
      <c r="E10" s="9" t="n">
        <f aca="false"> B10 / (1 + D3) ^ (C10 / B3)</f>
        <v>0</v>
      </c>
    </row>
    <row r="11" customFormat="false" ht="12.8" hidden="false" customHeight="false" outlineLevel="0" collapsed="false">
      <c r="A11" s="10" t="n">
        <v>6</v>
      </c>
      <c r="B11" s="11" t="n">
        <f aca="false">IF(A3 &gt; 5, 1, 0)</f>
        <v>0</v>
      </c>
      <c r="C11" s="11" t="n">
        <f aca="false"> B3 * A11</f>
        <v>180</v>
      </c>
      <c r="D11" s="11" t="n">
        <f aca="false"> B11 / (1 + D3 * C11 / B3)</f>
        <v>0</v>
      </c>
      <c r="E11" s="11" t="n">
        <f aca="false"> B11 / (1 + D3) ^ (C11 / B3)</f>
        <v>0</v>
      </c>
    </row>
    <row r="12" customFormat="false" ht="12.8" hidden="false" customHeight="false" outlineLevel="0" collapsed="false">
      <c r="A12" s="8" t="n">
        <v>7</v>
      </c>
      <c r="B12" s="9" t="n">
        <f aca="false">IF(A3 &gt; 6, 1, 0)</f>
        <v>0</v>
      </c>
      <c r="C12" s="9" t="n">
        <f aca="false"> B3 * A12</f>
        <v>210</v>
      </c>
      <c r="D12" s="9" t="n">
        <f aca="false"> B12 / (1 + D3 * C12 / B3)</f>
        <v>0</v>
      </c>
      <c r="E12" s="9" t="n">
        <f aca="false"> B12 / (1 + D3) ^ (C12 / B3)</f>
        <v>0</v>
      </c>
    </row>
    <row r="13" customFormat="false" ht="12.8" hidden="false" customHeight="false" outlineLevel="0" collapsed="false">
      <c r="A13" s="10" t="n">
        <v>8</v>
      </c>
      <c r="B13" s="11" t="n">
        <f aca="false">IF(A3 &gt; 7, 1, 0)</f>
        <v>0</v>
      </c>
      <c r="C13" s="11" t="n">
        <f aca="false"> B3 * A13</f>
        <v>240</v>
      </c>
      <c r="D13" s="11" t="n">
        <f aca="false"> B13 / (1 + D3 * C13 / B3)</f>
        <v>0</v>
      </c>
      <c r="E13" s="11" t="n">
        <f aca="false"> B13 / (1 + D3) ^ (C13 / B3)</f>
        <v>0</v>
      </c>
    </row>
    <row r="14" customFormat="false" ht="12.8" hidden="false" customHeight="false" outlineLevel="0" collapsed="false">
      <c r="A14" s="8" t="n">
        <v>9</v>
      </c>
      <c r="B14" s="9" t="n">
        <f aca="false">IF(A3 &gt; 8, 1, 0)</f>
        <v>0</v>
      </c>
      <c r="C14" s="9" t="n">
        <f aca="false"> B3 * A14</f>
        <v>270</v>
      </c>
      <c r="D14" s="9" t="n">
        <f aca="false"> B14 / (1 + D3 * C14 / B3)</f>
        <v>0</v>
      </c>
      <c r="E14" s="9" t="n">
        <f aca="false"> B14 / (1 + D3) ^ (C14 / B3)</f>
        <v>0</v>
      </c>
    </row>
    <row r="15" customFormat="false" ht="12.8" hidden="false" customHeight="false" outlineLevel="0" collapsed="false">
      <c r="A15" s="10" t="n">
        <v>10</v>
      </c>
      <c r="B15" s="11" t="n">
        <f aca="false">IF(A3 &gt; 9, 1, 0)</f>
        <v>0</v>
      </c>
      <c r="C15" s="11" t="n">
        <f aca="false"> B3 * A15</f>
        <v>300</v>
      </c>
      <c r="D15" s="11" t="n">
        <f aca="false"> B15 / (1 + D3 * C15 / B3)</f>
        <v>0</v>
      </c>
      <c r="E15" s="11" t="n">
        <f aca="false"> B15 / (1 + D3) ^ (C15 / B3)</f>
        <v>0</v>
      </c>
    </row>
    <row r="16" customFormat="false" ht="12.8" hidden="false" customHeight="false" outlineLevel="0" collapsed="false">
      <c r="A16" s="8" t="n">
        <v>11</v>
      </c>
      <c r="B16" s="9" t="n">
        <f aca="false">IF(A3 &gt; 10, 1, 0)</f>
        <v>0</v>
      </c>
      <c r="C16" s="9" t="n">
        <f aca="false"> B3 * A16</f>
        <v>330</v>
      </c>
      <c r="D16" s="9" t="n">
        <f aca="false"> B16 / (1 + D3 * C16 / B3)</f>
        <v>0</v>
      </c>
      <c r="E16" s="9" t="n">
        <f aca="false"> B16 / (1 + D3) ^ (C16 / B3)</f>
        <v>0</v>
      </c>
    </row>
    <row r="17" customFormat="false" ht="12.8" hidden="false" customHeight="false" outlineLevel="0" collapsed="false">
      <c r="A17" s="10" t="n">
        <v>12</v>
      </c>
      <c r="B17" s="11" t="n">
        <f aca="false">IF(A3 &gt; 11, 1, 0)</f>
        <v>0</v>
      </c>
      <c r="C17" s="11" t="n">
        <f aca="false"> B3 * A17</f>
        <v>360</v>
      </c>
      <c r="D17" s="11" t="n">
        <f aca="false"> B17 / (1 + D3 * C17 / B3)</f>
        <v>0</v>
      </c>
      <c r="E17" s="11" t="n">
        <f aca="false"> B17 / (1 + D3) ^ (C17 / B3)</f>
        <v>0</v>
      </c>
    </row>
    <row r="18" customFormat="false" ht="19.3" hidden="false" customHeight="true" outlineLevel="0" collapsed="false">
      <c r="A18" s="12" t="s">
        <v>10</v>
      </c>
      <c r="B18" s="13" t="n">
        <f aca="false"> SUM(B6:B17)</f>
        <v>3</v>
      </c>
      <c r="C18" s="12" t="s">
        <v>11</v>
      </c>
      <c r="D18" s="13" t="n">
        <f aca="false"> SUM(D6:D17)</f>
        <v>2.83170120548341</v>
      </c>
      <c r="E18" s="13" t="n">
        <f aca="false"> SUM(E6:E17)</f>
        <v>2.82861135489468</v>
      </c>
    </row>
    <row r="19" customFormat="false" ht="19.3" hidden="false" customHeight="true" outlineLevel="0" collapsed="false">
      <c r="A19" s="14"/>
      <c r="B19" s="15"/>
      <c r="C19" s="12" t="s">
        <v>12</v>
      </c>
      <c r="D19" s="16" t="n">
        <f aca="false">(B18 / D18 - 1)</f>
        <v>0.0594338110923174</v>
      </c>
      <c r="E19" s="16" t="n">
        <f aca="false">(B18 / E18 - 1)</f>
        <v>0.060591089973794</v>
      </c>
    </row>
  </sheetData>
  <mergeCells count="6">
    <mergeCell ref="A1:E1"/>
    <mergeCell ref="B2:C2"/>
    <mergeCell ref="D2:E2"/>
    <mergeCell ref="B3:C3"/>
    <mergeCell ref="D3:E3"/>
    <mergeCell ref="A4:E4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landscape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</TotalTime>
  <Application>LibreOffice/26.2.3.2$Linux_X86_64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2026-06-29T21:44:08Z</dcterms:created>
  <dc:creator>Ricardo Erick Rebêlo</dc:creator>
  <dc:description/>
  <dc:language>pt-BR</dc:language>
  <cp:lastModifiedBy>Ricardo Erick Rebêlo</cp:lastModifiedBy>
  <dcterms:modified xsi:type="dcterms:W3CDTF">2026-06-30T07:47:15Z</dcterms:modified>
  <cp:revision>35</cp:revision>
  <dc:subject/>
  <dc:title/>
</cp:coreProperties>
</file>